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2345955\RECORDS-NI_7.1.2\Offline Records (RN)\March ~ Management - Statistical Publications - Quarterly ASD Statistics\"/>
    </mc:Choice>
  </mc:AlternateContent>
  <bookViews>
    <workbookView xWindow="96" yWindow="48" windowWidth="18936" windowHeight="6000" tabRatio="770"/>
  </bookViews>
  <sheets>
    <sheet name="NOTES" sheetId="3" r:id="rId1"/>
    <sheet name="Autism Referrals" sheetId="1" r:id="rId2"/>
    <sheet name="Autism Referrals Graph" sheetId="6" r:id="rId3"/>
    <sheet name="Autism Diagnosis" sheetId="5" r:id="rId4"/>
    <sheet name="Autism Diagnosis Graph" sheetId="7" r:id="rId5"/>
  </sheets>
  <calcPr calcId="162913"/>
</workbook>
</file>

<file path=xl/calcChain.xml><?xml version="1.0" encoding="utf-8"?>
<calcChain xmlns="http://schemas.openxmlformats.org/spreadsheetml/2006/main">
  <c r="AB13" i="5" l="1"/>
</calcChain>
</file>

<file path=xl/sharedStrings.xml><?xml version="1.0" encoding="utf-8"?>
<sst xmlns="http://schemas.openxmlformats.org/spreadsheetml/2006/main" count="149" uniqueCount="84">
  <si>
    <t xml:space="preserve">Belfast </t>
  </si>
  <si>
    <t xml:space="preserve">Northern </t>
  </si>
  <si>
    <t>South Eastern</t>
  </si>
  <si>
    <t>Southern</t>
  </si>
  <si>
    <t xml:space="preserve">Western </t>
  </si>
  <si>
    <t xml:space="preserve">HSC Trust </t>
  </si>
  <si>
    <t>Northern Ireland</t>
  </si>
  <si>
    <t>Stormont Estate, Belfast, BT4 3SQ</t>
  </si>
  <si>
    <t>Definitions:</t>
  </si>
  <si>
    <t>Source:</t>
  </si>
  <si>
    <t>Limitations:</t>
  </si>
  <si>
    <t>Time period:</t>
  </si>
  <si>
    <t>Issued by:</t>
  </si>
  <si>
    <t>Validation:</t>
  </si>
  <si>
    <t>Figures relate to under 18s only.</t>
  </si>
  <si>
    <t>There will be some different practices between the HSC Trusts which may cause differences in the figures presented.</t>
  </si>
  <si>
    <t>Published:</t>
  </si>
  <si>
    <t>Definitions and description of the data collected is included above each of the data tables.</t>
  </si>
  <si>
    <t>Information &amp; Analysis Directorate</t>
  </si>
  <si>
    <t>Community Information Branch</t>
  </si>
  <si>
    <t>Child population</t>
  </si>
  <si>
    <t>Rate per 10,000 children</t>
  </si>
  <si>
    <t>Autism Referrals</t>
  </si>
  <si>
    <t xml:space="preserve">Autism Diagnosis </t>
  </si>
  <si>
    <t>Department of Health</t>
  </si>
  <si>
    <t>Email: cib@health-ni.gov.uk</t>
  </si>
  <si>
    <t>Web: https://www.health-ni.gov.uk/articles/autism-spectrum-disorder-asd-statistics</t>
  </si>
  <si>
    <t xml:space="preserve">Table 1a: Number of accepted autism referrals for children </t>
  </si>
  <si>
    <t>No of accepted autism referrals</t>
  </si>
  <si>
    <t xml:space="preserve">Validated aggregate autism information is submitted by each HSC Trust to the HSCB. The HSCB regionally validates the returns upon receipt. </t>
  </si>
  <si>
    <t>There may be instances where a person enters the system at under 18 but are over this age at the time of assessment.</t>
  </si>
  <si>
    <t>No of autism diagnosis</t>
  </si>
  <si>
    <t xml:space="preserve">Note: Revisions may have been made to previous figures. </t>
  </si>
  <si>
    <t>Set out below, displayed in a graph, are the number of referrals that were accepted after triage during the time period by the Health and Social Care Trusts for children to be assessed for autism.</t>
  </si>
  <si>
    <t xml:space="preserve">Set out below, displayed in a graph, are the number of children who were diagnosed as having autism during the time period. </t>
  </si>
  <si>
    <t>Autism Diagnoses</t>
  </si>
  <si>
    <t>Source: Health &amp; Social Care Board.</t>
  </si>
  <si>
    <t>Source: Health &amp; Social Care Board, Northern Ireland.</t>
  </si>
  <si>
    <t>Health and Social Care Board (HSCB).</t>
  </si>
  <si>
    <t>Table 2a: Number of children diagnosed with autism</t>
  </si>
  <si>
    <t>The attached tables present the number and the rate of accepted referrals for children's autism assessmentsand number of children diagnosed with autism in each of the Health and Social Care (HSC) Trusts in Northern Ireland.</t>
  </si>
  <si>
    <t>User Feedback:</t>
  </si>
  <si>
    <t>We welcome your feedback, if you have any comments on this publication please contact the Community Information Branch: cib@health-ni.gov.uk.</t>
  </si>
  <si>
    <t>Quarterly numbers from 30 June 2014 to 31 March 2022.</t>
  </si>
  <si>
    <t>Table 1b: Rate of accepted autism referrals for children during year ending 31 March 2022</t>
  </si>
  <si>
    <t xml:space="preserve">Set out in Table 1a below are the number of referrals that were accepted after triage during the time period by the Health and Social Care Trusts for children to be assessed for autism, and Table 1b sets out the rate of autism referrals for the last full financial year (year ending 31 March). </t>
  </si>
  <si>
    <t xml:space="preserve">Set out in Table 2a below are the number of children who were diagnosed as having autism during the time period, and Table 2b sets out the rate of autism diagnosis for the last full financial year (year ending 31 March). </t>
  </si>
  <si>
    <t>Table 2b: Rate of autism diagnosis for children during year ending 31 March 2022</t>
  </si>
  <si>
    <t>10/05/2022.</t>
  </si>
  <si>
    <t>Quarterly Autism Statistics for children in NI</t>
  </si>
  <si>
    <t>QE 30 Jun 14</t>
  </si>
  <si>
    <t>QE 30 Sept 14</t>
  </si>
  <si>
    <t>QE 31 Dec 14</t>
  </si>
  <si>
    <t>QE 31 Mar 15</t>
  </si>
  <si>
    <t>QE 30 Jun 15</t>
  </si>
  <si>
    <t>QE 30 Sept 15</t>
  </si>
  <si>
    <t>QE 30 Dec 15</t>
  </si>
  <si>
    <t>QE 31 Mar 16</t>
  </si>
  <si>
    <t>QE 30 Jun 16</t>
  </si>
  <si>
    <t>QE 30 Sept 16</t>
  </si>
  <si>
    <t>QE 31 Dec 16</t>
  </si>
  <si>
    <t>QE 31 Mar 17</t>
  </si>
  <si>
    <t>QE 30 Jun 17</t>
  </si>
  <si>
    <t>QE 30 Sept 17</t>
  </si>
  <si>
    <t>QE 31 Dec 17</t>
  </si>
  <si>
    <t>QE 31 Mar 18</t>
  </si>
  <si>
    <t>QE 30 Jun 18</t>
  </si>
  <si>
    <t>QE 30 Sept 18</t>
  </si>
  <si>
    <t>QE 31 Dec 18</t>
  </si>
  <si>
    <t>QE 31 Mar 19</t>
  </si>
  <si>
    <t>QE 30 Jun 19</t>
  </si>
  <si>
    <t>QE 30 Sept 19</t>
  </si>
  <si>
    <t>QE 31 Dec 19</t>
  </si>
  <si>
    <t>QE 31 Mar 20</t>
  </si>
  <si>
    <t>QE 30 Jun 20</t>
  </si>
  <si>
    <t>QE 30 Sept 20</t>
  </si>
  <si>
    <t>QE 31 Dec 20</t>
  </si>
  <si>
    <t>QE 31 Mar 21</t>
  </si>
  <si>
    <t>QE 30 Jun 21</t>
  </si>
  <si>
    <t>QE 30 Sept 21</t>
  </si>
  <si>
    <t>QE 31 Dec 21</t>
  </si>
  <si>
    <t>QE 31 Mar 22</t>
  </si>
  <si>
    <t>Source: Mid Year Estimates 2020, Northern Ireland Statistics and Research Agency 2021.</t>
  </si>
  <si>
    <t>QE - Quarter 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</si>
</sst>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F800]dddd\,\ mmmm\ dd\,\ yyyy"/>
  </numFmts>
  <fonts count="17" x14ac:knownFonts="1">
    <font>
      <sz val="11"/>
      <color theme="1"/>
      <name val="Calibri"/>
      <family val="2"/>
      <scheme val="minor"/>
    </font>
    <font>
      <b/>
      <sz val="11"/>
      <color theme="1"/>
      <name val="Calibri"/>
      <family val="2"/>
      <scheme val="minor"/>
    </font>
    <font>
      <sz val="10"/>
      <name val="Arial"/>
      <family val="2"/>
    </font>
    <font>
      <b/>
      <sz val="11"/>
      <color theme="0"/>
      <name val="Calibri"/>
      <family val="2"/>
      <scheme val="minor"/>
    </font>
    <font>
      <i/>
      <sz val="11"/>
      <color theme="1"/>
      <name val="Calibri"/>
      <family val="2"/>
      <scheme val="minor"/>
    </font>
    <font>
      <sz val="11"/>
      <name val="Calibri"/>
      <family val="2"/>
      <scheme val="minor"/>
    </font>
    <font>
      <b/>
      <sz val="10"/>
      <name val="Arial"/>
      <family val="2"/>
    </font>
    <font>
      <b/>
      <sz val="12"/>
      <name val="Calibri"/>
      <family val="2"/>
      <scheme val="minor"/>
    </font>
    <font>
      <b/>
      <i/>
      <sz val="11"/>
      <color theme="0"/>
      <name val="Calibri"/>
      <family val="2"/>
      <scheme val="minor"/>
    </font>
    <font>
      <b/>
      <i/>
      <sz val="11"/>
      <color theme="1"/>
      <name val="Calibri"/>
      <family val="2"/>
      <scheme val="minor"/>
    </font>
    <font>
      <sz val="12"/>
      <name val="Calibri"/>
      <family val="2"/>
      <scheme val="minor"/>
    </font>
    <font>
      <b/>
      <i/>
      <sz val="12"/>
      <color theme="1"/>
      <name val="Calibri"/>
      <family val="2"/>
      <scheme val="minor"/>
    </font>
    <font>
      <sz val="12"/>
      <color theme="1"/>
      <name val="Calibri"/>
      <family val="2"/>
      <scheme val="minor"/>
    </font>
    <font>
      <b/>
      <i/>
      <sz val="12"/>
      <name val="Calibri"/>
      <family val="2"/>
      <scheme val="minor"/>
    </font>
    <font>
      <sz val="10"/>
      <color theme="0"/>
      <name val="Calibri"/>
      <family val="2"/>
      <scheme val="minor"/>
    </font>
    <font>
      <i/>
      <sz val="10"/>
      <color theme="0"/>
      <name val="Calibri"/>
      <family val="2"/>
      <scheme val="minor"/>
    </font>
    <font>
      <b/>
      <sz val="16"/>
      <color theme="3" tint="-0.249977111117893"/>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cellStyleXfs>
  <cellXfs count="42">
    <xf numFmtId="0" fontId="0" fillId="0" borderId="0" xfId="0"/>
    <xf numFmtId="0" fontId="0" fillId="0" borderId="0" xfId="0" applyFill="1"/>
    <xf numFmtId="0" fontId="1" fillId="0" borderId="0" xfId="0" applyFont="1" applyFill="1" applyAlignment="1"/>
    <xf numFmtId="0" fontId="0" fillId="0" borderId="1" xfId="0" applyFill="1" applyBorder="1"/>
    <xf numFmtId="0" fontId="0" fillId="0" borderId="0" xfId="0" applyFill="1" applyAlignment="1">
      <alignment wrapText="1"/>
    </xf>
    <xf numFmtId="0" fontId="1" fillId="2" borderId="1" xfId="0" applyFont="1" applyFill="1" applyBorder="1" applyAlignment="1">
      <alignment horizontal="left"/>
    </xf>
    <xf numFmtId="0" fontId="3" fillId="3" borderId="1" xfId="0" applyFont="1" applyFill="1" applyBorder="1" applyAlignment="1">
      <alignment horizontal="left" vertical="center"/>
    </xf>
    <xf numFmtId="17" fontId="3" fillId="3" borderId="1" xfId="0" applyNumberFormat="1" applyFont="1" applyFill="1" applyBorder="1" applyAlignment="1">
      <alignment horizontal="center" vertical="center" wrapText="1"/>
    </xf>
    <xf numFmtId="0" fontId="1" fillId="2" borderId="1" xfId="0" applyFont="1" applyFill="1" applyBorder="1" applyAlignment="1">
      <alignment horizontal="center" wrapText="1"/>
    </xf>
    <xf numFmtId="0" fontId="5" fillId="0" borderId="1" xfId="0" applyFont="1" applyFill="1" applyBorder="1" applyAlignment="1">
      <alignment horizontal="center" wrapText="1"/>
    </xf>
    <xf numFmtId="0" fontId="0" fillId="0" borderId="1" xfId="0" applyFont="1" applyFill="1" applyBorder="1" applyAlignment="1">
      <alignment horizontal="center" wrapText="1"/>
    </xf>
    <xf numFmtId="0" fontId="6" fillId="0" borderId="0" xfId="0" applyFont="1" applyAlignment="1">
      <alignment horizontal="left" vertical="top" wrapText="1"/>
    </xf>
    <xf numFmtId="0" fontId="0" fillId="0" borderId="0" xfId="0" applyAlignment="1">
      <alignment wrapText="1"/>
    </xf>
    <xf numFmtId="0" fontId="7" fillId="0" borderId="0" xfId="0" applyFont="1" applyFill="1" applyAlignment="1">
      <alignment vertical="center"/>
    </xf>
    <xf numFmtId="0" fontId="5" fillId="0" borderId="0" xfId="0" applyFont="1" applyFill="1" applyAlignment="1">
      <alignment wrapText="1"/>
    </xf>
    <xf numFmtId="0" fontId="5" fillId="0" borderId="0" xfId="0" applyFont="1" applyFill="1"/>
    <xf numFmtId="0" fontId="0" fillId="0" borderId="0" xfId="0" applyFont="1" applyFill="1" applyBorder="1" applyAlignment="1">
      <alignment horizontal="center" wrapText="1"/>
    </xf>
    <xf numFmtId="0" fontId="0" fillId="0" borderId="0" xfId="0" applyFill="1" applyBorder="1"/>
    <xf numFmtId="164" fontId="0" fillId="0" borderId="0" xfId="0" applyNumberFormat="1" applyFill="1" applyBorder="1"/>
    <xf numFmtId="17" fontId="3" fillId="0" borderId="0" xfId="0" applyNumberFormat="1" applyFont="1" applyFill="1" applyBorder="1" applyAlignment="1">
      <alignment horizontal="center" vertical="center" wrapText="1"/>
    </xf>
    <xf numFmtId="0" fontId="1" fillId="0" borderId="0" xfId="0" applyFont="1" applyFill="1" applyBorder="1" applyAlignment="1">
      <alignment horizontal="center" wrapText="1"/>
    </xf>
    <xf numFmtId="3" fontId="0" fillId="0" borderId="1" xfId="0" applyNumberFormat="1" applyFont="1" applyFill="1" applyBorder="1" applyAlignment="1">
      <alignment horizontal="center" wrapText="1"/>
    </xf>
    <xf numFmtId="3" fontId="1" fillId="2" borderId="1" xfId="0" applyNumberFormat="1" applyFont="1" applyFill="1" applyBorder="1" applyAlignment="1">
      <alignment horizontal="center" wrapText="1"/>
    </xf>
    <xf numFmtId="17" fontId="8" fillId="3" borderId="2" xfId="0" applyNumberFormat="1" applyFont="1" applyFill="1" applyBorder="1" applyAlignment="1">
      <alignment horizontal="center" vertical="center" wrapText="1"/>
    </xf>
    <xf numFmtId="164" fontId="9" fillId="2" borderId="1" xfId="0" applyNumberFormat="1" applyFont="1" applyFill="1" applyBorder="1" applyAlignment="1">
      <alignment horizontal="center" wrapText="1"/>
    </xf>
    <xf numFmtId="164" fontId="9" fillId="0" borderId="1" xfId="0" applyNumberFormat="1" applyFont="1" applyFill="1" applyBorder="1" applyAlignment="1">
      <alignment horizontal="center" wrapText="1"/>
    </xf>
    <xf numFmtId="0" fontId="4" fillId="0" borderId="0" xfId="0" applyFont="1" applyFill="1" applyBorder="1"/>
    <xf numFmtId="0" fontId="10" fillId="0" borderId="0" xfId="0" applyFont="1" applyFill="1" applyAlignment="1">
      <alignment horizontal="left" vertical="top" wrapText="1"/>
    </xf>
    <xf numFmtId="0" fontId="11" fillId="2" borderId="0" xfId="0" applyFont="1" applyFill="1" applyAlignment="1">
      <alignment horizontal="left" vertical="top" wrapText="1"/>
    </xf>
    <xf numFmtId="0" fontId="10"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Fill="1" applyAlignment="1">
      <alignment horizontal="left" vertical="top" wrapText="1"/>
    </xf>
    <xf numFmtId="0" fontId="13" fillId="2" borderId="0" xfId="0" applyFont="1" applyFill="1" applyAlignment="1">
      <alignment horizontal="left" vertical="top" wrapText="1"/>
    </xf>
    <xf numFmtId="0" fontId="12" fillId="0" borderId="0" xfId="0" applyFont="1" applyAlignment="1">
      <alignment wrapText="1"/>
    </xf>
    <xf numFmtId="3" fontId="5" fillId="0" borderId="1" xfId="0" applyNumberFormat="1" applyFont="1" applyFill="1" applyBorder="1" applyAlignment="1">
      <alignment horizontal="center" wrapText="1"/>
    </xf>
    <xf numFmtId="0" fontId="0" fillId="0" borderId="0" xfId="0" applyFont="1" applyFill="1"/>
    <xf numFmtId="17" fontId="14" fillId="3" borderId="1" xfId="0" applyNumberFormat="1" applyFont="1" applyFill="1" applyBorder="1" applyAlignment="1">
      <alignment horizontal="center" vertical="center" wrapText="1"/>
    </xf>
    <xf numFmtId="17" fontId="15" fillId="3" borderId="2" xfId="0" applyNumberFormat="1" applyFont="1" applyFill="1" applyBorder="1" applyAlignment="1">
      <alignment horizontal="center" vertical="center" wrapText="1"/>
    </xf>
    <xf numFmtId="165" fontId="10" fillId="0" borderId="0" xfId="0" applyNumberFormat="1" applyFont="1" applyFill="1" applyAlignment="1">
      <alignment horizontal="left" vertical="top" wrapText="1"/>
    </xf>
    <xf numFmtId="0" fontId="5" fillId="0" borderId="0" xfId="0" applyFont="1" applyFill="1" applyAlignment="1"/>
    <xf numFmtId="0" fontId="16" fillId="2" borderId="0" xfId="0" applyFont="1" applyFill="1" applyAlignment="1">
      <alignment vertical="center" wrapText="1"/>
    </xf>
    <xf numFmtId="0" fontId="0" fillId="0" borderId="0" xfId="0" applyFont="1" applyFill="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a:t>
            </a:r>
            <a:r>
              <a:rPr lang="en-US" sz="1200"/>
              <a:t>Number of accepted Autism referrals for children </a:t>
            </a:r>
          </a:p>
        </c:rich>
      </c:tx>
      <c:layout/>
      <c:overlay val="0"/>
    </c:title>
    <c:autoTitleDeleted val="0"/>
    <c:plotArea>
      <c:layout/>
      <c:barChart>
        <c:barDir val="col"/>
        <c:grouping val="clustered"/>
        <c:varyColors val="0"/>
        <c:ser>
          <c:idx val="0"/>
          <c:order val="0"/>
          <c:tx>
            <c:strRef>
              <c:f>'Autism Referrals'!$A$12</c:f>
              <c:strCache>
                <c:ptCount val="1"/>
                <c:pt idx="0">
                  <c:v>Northern Ireland</c:v>
                </c:pt>
              </c:strCache>
            </c:strRef>
          </c:tx>
          <c:spPr>
            <a:solidFill>
              <a:schemeClr val="tx2"/>
            </a:solidFill>
            <a:ln w="15875">
              <a:solidFill>
                <a:schemeClr val="tx2"/>
              </a:solidFill>
            </a:ln>
          </c:spPr>
          <c:invertIfNegative val="0"/>
          <c:dLbls>
            <c:numFmt formatCode="#,##0" sourceLinked="0"/>
            <c:spPr>
              <a:noFill/>
              <a:ln>
                <a:noFill/>
              </a:ln>
              <a:effectLst/>
            </c:spPr>
            <c:txPr>
              <a:bodyPr rot="0" vert="horz"/>
              <a:lstStyle/>
              <a:p>
                <a:pPr>
                  <a:defRPr sz="1100" b="0">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'Autism Referrals'!$B$6:$AG$6</c:f>
              <c:strCache>
                <c:ptCount val="32"/>
                <c:pt idx="0">
                  <c:v>QE 30 Jun 14</c:v>
                </c:pt>
                <c:pt idx="1">
                  <c:v>QE 30 Sept 14</c:v>
                </c:pt>
                <c:pt idx="2">
                  <c:v>QE 31 Dec 14</c:v>
                </c:pt>
                <c:pt idx="3">
                  <c:v>QE 31 Mar 15</c:v>
                </c:pt>
                <c:pt idx="4">
                  <c:v>QE 30 Jun 15</c:v>
                </c:pt>
                <c:pt idx="5">
                  <c:v>QE 30 Sept 15</c:v>
                </c:pt>
                <c:pt idx="6">
                  <c:v>QE 30 Dec 15</c:v>
                </c:pt>
                <c:pt idx="7">
                  <c:v>QE 31 Mar 16</c:v>
                </c:pt>
                <c:pt idx="8">
                  <c:v>QE 30 Jun 16</c:v>
                </c:pt>
                <c:pt idx="9">
                  <c:v>QE 30 Sept 16</c:v>
                </c:pt>
                <c:pt idx="10">
                  <c:v>QE 31 Dec 16</c:v>
                </c:pt>
                <c:pt idx="11">
                  <c:v>QE 31 Mar 17</c:v>
                </c:pt>
                <c:pt idx="12">
                  <c:v>QE 30 Jun 17</c:v>
                </c:pt>
                <c:pt idx="13">
                  <c:v>QE 30 Sept 17</c:v>
                </c:pt>
                <c:pt idx="14">
                  <c:v>QE 31 Dec 17</c:v>
                </c:pt>
                <c:pt idx="15">
                  <c:v>QE 31 Mar 18</c:v>
                </c:pt>
                <c:pt idx="16">
                  <c:v>QE 30 Jun 18</c:v>
                </c:pt>
                <c:pt idx="17">
                  <c:v>QE 30 Sept 18</c:v>
                </c:pt>
                <c:pt idx="18">
                  <c:v>QE 31 Dec 18</c:v>
                </c:pt>
                <c:pt idx="19">
                  <c:v>QE 31 Mar 19</c:v>
                </c:pt>
                <c:pt idx="20">
                  <c:v>QE 30 Jun 19</c:v>
                </c:pt>
                <c:pt idx="21">
                  <c:v>QE 30 Sept 19</c:v>
                </c:pt>
                <c:pt idx="22">
                  <c:v>QE 31 Dec 19</c:v>
                </c:pt>
                <c:pt idx="23">
                  <c:v>QE 31 Mar 20</c:v>
                </c:pt>
                <c:pt idx="24">
                  <c:v>QE 30 Jun 20</c:v>
                </c:pt>
                <c:pt idx="25">
                  <c:v>QE 30 Sept 20</c:v>
                </c:pt>
                <c:pt idx="26">
                  <c:v>QE 31 Dec 20</c:v>
                </c:pt>
                <c:pt idx="27">
                  <c:v>QE 31 Mar 21</c:v>
                </c:pt>
                <c:pt idx="28">
                  <c:v>QE 30 Jun 21</c:v>
                </c:pt>
                <c:pt idx="29">
                  <c:v>QE 30 Sept 21</c:v>
                </c:pt>
                <c:pt idx="30">
                  <c:v>QE 31 Dec 21</c:v>
                </c:pt>
                <c:pt idx="31">
                  <c:v>QE 31 Mar 22</c:v>
                </c:pt>
              </c:strCache>
            </c:strRef>
          </c:cat>
          <c:val>
            <c:numRef>
              <c:f>'Autism Referrals'!$B$12:$AG$12</c:f>
              <c:numCache>
                <c:formatCode>#,##0</c:formatCode>
                <c:ptCount val="32"/>
                <c:pt idx="0">
                  <c:v>736</c:v>
                </c:pt>
                <c:pt idx="1">
                  <c:v>573</c:v>
                </c:pt>
                <c:pt idx="2">
                  <c:v>603</c:v>
                </c:pt>
                <c:pt idx="3">
                  <c:v>577</c:v>
                </c:pt>
                <c:pt idx="4">
                  <c:v>723</c:v>
                </c:pt>
                <c:pt idx="5">
                  <c:v>703</c:v>
                </c:pt>
                <c:pt idx="6">
                  <c:v>754</c:v>
                </c:pt>
                <c:pt idx="7">
                  <c:v>730</c:v>
                </c:pt>
                <c:pt idx="8">
                  <c:v>876</c:v>
                </c:pt>
                <c:pt idx="9">
                  <c:v>736</c:v>
                </c:pt>
                <c:pt idx="10">
                  <c:v>834</c:v>
                </c:pt>
                <c:pt idx="11">
                  <c:v>865</c:v>
                </c:pt>
                <c:pt idx="12">
                  <c:v>997</c:v>
                </c:pt>
                <c:pt idx="13">
                  <c:v>946</c:v>
                </c:pt>
                <c:pt idx="14">
                  <c:v>1010</c:v>
                </c:pt>
                <c:pt idx="15">
                  <c:v>1144</c:v>
                </c:pt>
                <c:pt idx="16">
                  <c:v>1226</c:v>
                </c:pt>
                <c:pt idx="17">
                  <c:v>945</c:v>
                </c:pt>
                <c:pt idx="18">
                  <c:v>1168</c:v>
                </c:pt>
                <c:pt idx="19">
                  <c:v>1257</c:v>
                </c:pt>
                <c:pt idx="20">
                  <c:v>1292</c:v>
                </c:pt>
                <c:pt idx="21">
                  <c:v>1014</c:v>
                </c:pt>
                <c:pt idx="22">
                  <c:v>1153</c:v>
                </c:pt>
                <c:pt idx="23">
                  <c:v>1223</c:v>
                </c:pt>
                <c:pt idx="24" formatCode="General">
                  <c:v>728</c:v>
                </c:pt>
                <c:pt idx="25" formatCode="General">
                  <c:v>701</c:v>
                </c:pt>
                <c:pt idx="26">
                  <c:v>1010</c:v>
                </c:pt>
                <c:pt idx="27">
                  <c:v>1150</c:v>
                </c:pt>
                <c:pt idx="28">
                  <c:v>1308</c:v>
                </c:pt>
                <c:pt idx="29">
                  <c:v>1130</c:v>
                </c:pt>
                <c:pt idx="30">
                  <c:v>1360</c:v>
                </c:pt>
                <c:pt idx="31">
                  <c:v>1414</c:v>
                </c:pt>
              </c:numCache>
            </c:numRef>
          </c:val>
          <c:extLst>
            <c:ext xmlns:c16="http://schemas.microsoft.com/office/drawing/2014/chart" uri="{C3380CC4-5D6E-409C-BE32-E72D297353CC}">
              <c16:uniqueId val="{00000000-5165-438E-90E8-48A0B361B397}"/>
            </c:ext>
          </c:extLst>
        </c:ser>
        <c:dLbls>
          <c:showLegendKey val="0"/>
          <c:showVal val="0"/>
          <c:showCatName val="0"/>
          <c:showSerName val="0"/>
          <c:showPercent val="0"/>
          <c:showBubbleSize val="0"/>
        </c:dLbls>
        <c:gapWidth val="50"/>
        <c:axId val="699915648"/>
        <c:axId val="699914080"/>
      </c:barChart>
      <c:catAx>
        <c:axId val="699915648"/>
        <c:scaling>
          <c:orientation val="minMax"/>
        </c:scaling>
        <c:delete val="0"/>
        <c:axPos val="b"/>
        <c:numFmt formatCode="General" sourceLinked="0"/>
        <c:majorTickMark val="out"/>
        <c:minorTickMark val="none"/>
        <c:tickLblPos val="nextTo"/>
        <c:txPr>
          <a:bodyPr/>
          <a:lstStyle/>
          <a:p>
            <a:pPr>
              <a:defRPr sz="800" b="1"/>
            </a:pPr>
            <a:endParaRPr lang="en-US"/>
          </a:p>
        </c:txPr>
        <c:crossAx val="699914080"/>
        <c:crosses val="autoZero"/>
        <c:auto val="1"/>
        <c:lblAlgn val="ctr"/>
        <c:lblOffset val="100"/>
        <c:noMultiLvlLbl val="0"/>
      </c:catAx>
      <c:valAx>
        <c:axId val="699914080"/>
        <c:scaling>
          <c:orientation val="minMax"/>
        </c:scaling>
        <c:delete val="0"/>
        <c:axPos val="l"/>
        <c:majorGridlines/>
        <c:numFmt formatCode="#,##0" sourceLinked="1"/>
        <c:majorTickMark val="out"/>
        <c:minorTickMark val="none"/>
        <c:tickLblPos val="nextTo"/>
        <c:crossAx val="699915648"/>
        <c:crosses val="autoZero"/>
        <c:crossBetween val="between"/>
        <c:majorUnit val="200"/>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a:t>
            </a:r>
            <a:r>
              <a:rPr lang="en-US" sz="1200"/>
              <a:t>Number of children diagnosed with autism</a:t>
            </a:r>
          </a:p>
        </c:rich>
      </c:tx>
      <c:layout/>
      <c:overlay val="0"/>
    </c:title>
    <c:autoTitleDeleted val="0"/>
    <c:plotArea>
      <c:layout/>
      <c:barChart>
        <c:barDir val="col"/>
        <c:grouping val="clustered"/>
        <c:varyColors val="0"/>
        <c:ser>
          <c:idx val="0"/>
          <c:order val="0"/>
          <c:tx>
            <c:strRef>
              <c:f>'Autism Diagnosis'!$A$13</c:f>
              <c:strCache>
                <c:ptCount val="1"/>
                <c:pt idx="0">
                  <c:v>Northern Ireland</c:v>
                </c:pt>
              </c:strCache>
            </c:strRef>
          </c:tx>
          <c:spPr>
            <a:solidFill>
              <a:schemeClr val="tx2"/>
            </a:solidFill>
            <a:ln w="15875">
              <a:solidFill>
                <a:schemeClr val="tx2"/>
              </a:solidFill>
            </a:ln>
          </c:spPr>
          <c:invertIfNegative val="0"/>
          <c:dLbls>
            <c:numFmt formatCode="#,##0" sourceLinked="0"/>
            <c:spPr>
              <a:noFill/>
              <a:ln>
                <a:noFill/>
              </a:ln>
              <a:effectLst/>
            </c:spPr>
            <c:txPr>
              <a:bodyPr/>
              <a:lstStyle/>
              <a:p>
                <a:pPr>
                  <a:defRPr sz="1200" b="0">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'Autism Diagnosis'!$B$7:$AG$7</c:f>
              <c:strCache>
                <c:ptCount val="32"/>
                <c:pt idx="0">
                  <c:v>QE 30 Jun 14</c:v>
                </c:pt>
                <c:pt idx="1">
                  <c:v>QE 30 Sept 14</c:v>
                </c:pt>
                <c:pt idx="2">
                  <c:v>QE 31 Dec 14</c:v>
                </c:pt>
                <c:pt idx="3">
                  <c:v>QE 31 Mar 15</c:v>
                </c:pt>
                <c:pt idx="4">
                  <c:v>QE 30 Jun 15</c:v>
                </c:pt>
                <c:pt idx="5">
                  <c:v>QE 30 Sept 15</c:v>
                </c:pt>
                <c:pt idx="6">
                  <c:v>QE 30 Dec 15</c:v>
                </c:pt>
                <c:pt idx="7">
                  <c:v>QE 31 Mar 16</c:v>
                </c:pt>
                <c:pt idx="8">
                  <c:v>QE 30 Jun 16</c:v>
                </c:pt>
                <c:pt idx="9">
                  <c:v>QE 30 Sept 16</c:v>
                </c:pt>
                <c:pt idx="10">
                  <c:v>QE 31 Dec 16</c:v>
                </c:pt>
                <c:pt idx="11">
                  <c:v>QE 31 Mar 17</c:v>
                </c:pt>
                <c:pt idx="12">
                  <c:v>QE 30 Jun 17</c:v>
                </c:pt>
                <c:pt idx="13">
                  <c:v>QE 30 Sept 17</c:v>
                </c:pt>
                <c:pt idx="14">
                  <c:v>QE 31 Dec 17</c:v>
                </c:pt>
                <c:pt idx="15">
                  <c:v>QE 31 Mar 18</c:v>
                </c:pt>
                <c:pt idx="16">
                  <c:v>QE 30 Jun 18</c:v>
                </c:pt>
                <c:pt idx="17">
                  <c:v>QE 30 Sept 18</c:v>
                </c:pt>
                <c:pt idx="18">
                  <c:v>QE 31 Dec 18</c:v>
                </c:pt>
                <c:pt idx="19">
                  <c:v>QE 31 Mar 19</c:v>
                </c:pt>
                <c:pt idx="20">
                  <c:v>QE 30 Jun 19</c:v>
                </c:pt>
                <c:pt idx="21">
                  <c:v>QE 30 Sept 19</c:v>
                </c:pt>
                <c:pt idx="22">
                  <c:v>QE 31 Dec 19</c:v>
                </c:pt>
                <c:pt idx="23">
                  <c:v>QE 31 Mar 20</c:v>
                </c:pt>
                <c:pt idx="24">
                  <c:v>QE 30 Jun 20</c:v>
                </c:pt>
                <c:pt idx="25">
                  <c:v>QE 30 Sept 20</c:v>
                </c:pt>
                <c:pt idx="26">
                  <c:v>QE 31 Dec 20</c:v>
                </c:pt>
                <c:pt idx="27">
                  <c:v>QE 31 Mar 21</c:v>
                </c:pt>
                <c:pt idx="28">
                  <c:v>QE 30 Jun 21</c:v>
                </c:pt>
                <c:pt idx="29">
                  <c:v>QE 30 Sept 21</c:v>
                </c:pt>
                <c:pt idx="30">
                  <c:v>QE 31 Dec 21</c:v>
                </c:pt>
                <c:pt idx="31">
                  <c:v>QE 31 Mar 22</c:v>
                </c:pt>
              </c:strCache>
            </c:strRef>
          </c:cat>
          <c:val>
            <c:numRef>
              <c:f>'Autism Diagnosis'!$B$13:$AG$13</c:f>
              <c:numCache>
                <c:formatCode>General</c:formatCode>
                <c:ptCount val="32"/>
                <c:pt idx="0">
                  <c:v>286</c:v>
                </c:pt>
                <c:pt idx="1">
                  <c:v>263</c:v>
                </c:pt>
                <c:pt idx="2">
                  <c:v>315</c:v>
                </c:pt>
                <c:pt idx="3">
                  <c:v>272</c:v>
                </c:pt>
                <c:pt idx="4">
                  <c:v>314</c:v>
                </c:pt>
                <c:pt idx="5">
                  <c:v>292</c:v>
                </c:pt>
                <c:pt idx="6">
                  <c:v>382</c:v>
                </c:pt>
                <c:pt idx="7">
                  <c:v>484</c:v>
                </c:pt>
                <c:pt idx="8">
                  <c:v>482</c:v>
                </c:pt>
                <c:pt idx="9">
                  <c:v>435</c:v>
                </c:pt>
                <c:pt idx="10">
                  <c:v>463</c:v>
                </c:pt>
                <c:pt idx="11">
                  <c:v>562</c:v>
                </c:pt>
                <c:pt idx="12">
                  <c:v>602</c:v>
                </c:pt>
                <c:pt idx="13">
                  <c:v>595</c:v>
                </c:pt>
                <c:pt idx="14">
                  <c:v>588</c:v>
                </c:pt>
                <c:pt idx="15">
                  <c:v>536</c:v>
                </c:pt>
                <c:pt idx="16">
                  <c:v>697</c:v>
                </c:pt>
                <c:pt idx="17">
                  <c:v>678</c:v>
                </c:pt>
                <c:pt idx="18">
                  <c:v>677</c:v>
                </c:pt>
                <c:pt idx="19">
                  <c:v>757</c:v>
                </c:pt>
                <c:pt idx="20">
                  <c:v>681</c:v>
                </c:pt>
                <c:pt idx="21">
                  <c:v>614</c:v>
                </c:pt>
                <c:pt idx="22">
                  <c:v>597</c:v>
                </c:pt>
                <c:pt idx="23">
                  <c:v>670</c:v>
                </c:pt>
                <c:pt idx="24">
                  <c:v>134</c:v>
                </c:pt>
                <c:pt idx="25">
                  <c:v>183</c:v>
                </c:pt>
                <c:pt idx="26">
                  <c:v>387</c:v>
                </c:pt>
                <c:pt idx="27">
                  <c:v>489</c:v>
                </c:pt>
                <c:pt idx="28">
                  <c:v>621</c:v>
                </c:pt>
                <c:pt idx="29">
                  <c:v>609</c:v>
                </c:pt>
                <c:pt idx="30">
                  <c:v>682</c:v>
                </c:pt>
                <c:pt idx="31">
                  <c:v>651</c:v>
                </c:pt>
              </c:numCache>
            </c:numRef>
          </c:val>
          <c:extLst>
            <c:ext xmlns:c16="http://schemas.microsoft.com/office/drawing/2014/chart" uri="{C3380CC4-5D6E-409C-BE32-E72D297353CC}">
              <c16:uniqueId val="{00000000-8659-4FC7-990A-BD9706E315E7}"/>
            </c:ext>
          </c:extLst>
        </c:ser>
        <c:dLbls>
          <c:showLegendKey val="0"/>
          <c:showVal val="0"/>
          <c:showCatName val="0"/>
          <c:showSerName val="0"/>
          <c:showPercent val="0"/>
          <c:showBubbleSize val="0"/>
        </c:dLbls>
        <c:gapWidth val="50"/>
        <c:axId val="698094352"/>
        <c:axId val="698094744"/>
      </c:barChart>
      <c:catAx>
        <c:axId val="698094352"/>
        <c:scaling>
          <c:orientation val="minMax"/>
        </c:scaling>
        <c:delete val="0"/>
        <c:axPos val="b"/>
        <c:numFmt formatCode="General" sourceLinked="0"/>
        <c:majorTickMark val="out"/>
        <c:minorTickMark val="none"/>
        <c:tickLblPos val="nextTo"/>
        <c:txPr>
          <a:bodyPr/>
          <a:lstStyle/>
          <a:p>
            <a:pPr>
              <a:defRPr sz="800" b="1"/>
            </a:pPr>
            <a:endParaRPr lang="en-US"/>
          </a:p>
        </c:txPr>
        <c:crossAx val="698094744"/>
        <c:crosses val="autoZero"/>
        <c:auto val="1"/>
        <c:lblAlgn val="ctr"/>
        <c:lblOffset val="100"/>
        <c:noMultiLvlLbl val="0"/>
      </c:catAx>
      <c:valAx>
        <c:axId val="698094744"/>
        <c:scaling>
          <c:orientation val="minMax"/>
          <c:min val="0"/>
        </c:scaling>
        <c:delete val="0"/>
        <c:axPos val="l"/>
        <c:majorGridlines/>
        <c:numFmt formatCode="General" sourceLinked="1"/>
        <c:majorTickMark val="out"/>
        <c:minorTickMark val="none"/>
        <c:tickLblPos val="nextTo"/>
        <c:crossAx val="698094352"/>
        <c:crosses val="autoZero"/>
        <c:crossBetween val="between"/>
        <c:majorUnit val="100"/>
      </c:valAx>
    </c:plotArea>
    <c:plotVisOnly val="1"/>
    <c:dispBlanksAs val="gap"/>
    <c:showDLblsOverMax val="0"/>
  </c:chart>
  <c:spPr>
    <a:ln>
      <a:noFill/>
    </a:ln>
  </c:spPr>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57150</xdr:rowOff>
    </xdr:from>
    <xdr:to>
      <xdr:col>20</xdr:col>
      <xdr:colOff>541020</xdr:colOff>
      <xdr:row>21</xdr:row>
      <xdr:rowOff>82550</xdr:rowOff>
    </xdr:to>
    <xdr:graphicFrame macro="">
      <xdr:nvGraphicFramePr>
        <xdr:cNvPr id="2" name="Chart 1" descr="Number of referrals in each quarter." title="Number of accepted autism referrals for childre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60960</xdr:rowOff>
    </xdr:from>
    <xdr:to>
      <xdr:col>22</xdr:col>
      <xdr:colOff>7620</xdr:colOff>
      <xdr:row>22</xdr:row>
      <xdr:rowOff>63077</xdr:rowOff>
    </xdr:to>
    <xdr:graphicFrame macro="">
      <xdr:nvGraphicFramePr>
        <xdr:cNvPr id="2" name="Chart 1" descr="Number of diagnoses in each quarter." title="Number of accepted autism diagnoses for childre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A27"/>
  <sheetViews>
    <sheetView showGridLines="0" tabSelected="1" workbookViewId="0"/>
  </sheetViews>
  <sheetFormatPr defaultRowHeight="14.4" x14ac:dyDescent="0.3"/>
  <cols>
    <col min="1" max="1" width="81.88671875" style="12" customWidth="1"/>
    <col min="2" max="2" width="3.6640625" customWidth="1"/>
  </cols>
  <sheetData>
    <row r="1" spans="1:1" ht="39" customHeight="1" x14ac:dyDescent="0.3">
      <c r="A1" s="40" t="s">
        <v>49</v>
      </c>
    </row>
    <row r="2" spans="1:1" ht="56.4" customHeight="1" x14ac:dyDescent="0.3">
      <c r="A2" s="27" t="s">
        <v>40</v>
      </c>
    </row>
    <row r="3" spans="1:1" ht="15.6" x14ac:dyDescent="0.3">
      <c r="A3" s="28" t="s">
        <v>11</v>
      </c>
    </row>
    <row r="4" spans="1:1" ht="22.5" customHeight="1" x14ac:dyDescent="0.3">
      <c r="A4" s="29" t="s">
        <v>43</v>
      </c>
    </row>
    <row r="5" spans="1:1" ht="15.6" x14ac:dyDescent="0.3">
      <c r="A5" s="32" t="s">
        <v>16</v>
      </c>
    </row>
    <row r="6" spans="1:1" ht="24" customHeight="1" x14ac:dyDescent="0.3">
      <c r="A6" s="38" t="s">
        <v>48</v>
      </c>
    </row>
    <row r="7" spans="1:1" ht="15.6" x14ac:dyDescent="0.3">
      <c r="A7" s="28" t="s">
        <v>8</v>
      </c>
    </row>
    <row r="8" spans="1:1" ht="37.200000000000003" customHeight="1" x14ac:dyDescent="0.3">
      <c r="A8" s="31" t="s">
        <v>17</v>
      </c>
    </row>
    <row r="9" spans="1:1" ht="15.6" x14ac:dyDescent="0.3">
      <c r="A9" s="28" t="s">
        <v>9</v>
      </c>
    </row>
    <row r="10" spans="1:1" ht="20.399999999999999" customHeight="1" x14ac:dyDescent="0.3">
      <c r="A10" s="30" t="s">
        <v>38</v>
      </c>
    </row>
    <row r="11" spans="1:1" ht="15.6" x14ac:dyDescent="0.3">
      <c r="A11" s="28" t="s">
        <v>13</v>
      </c>
    </row>
    <row r="12" spans="1:1" ht="37.5" customHeight="1" x14ac:dyDescent="0.3">
      <c r="A12" s="31" t="s">
        <v>29</v>
      </c>
    </row>
    <row r="13" spans="1:1" ht="15.6" x14ac:dyDescent="0.3">
      <c r="A13" s="28" t="s">
        <v>10</v>
      </c>
    </row>
    <row r="14" spans="1:1" ht="25.5" customHeight="1" x14ac:dyDescent="0.3">
      <c r="A14" s="30" t="s">
        <v>14</v>
      </c>
    </row>
    <row r="15" spans="1:1" ht="36.75" customHeight="1" x14ac:dyDescent="0.3">
      <c r="A15" s="30" t="s">
        <v>30</v>
      </c>
    </row>
    <row r="16" spans="1:1" ht="36.75" customHeight="1" x14ac:dyDescent="0.3">
      <c r="A16" s="30" t="s">
        <v>15</v>
      </c>
    </row>
    <row r="17" spans="1:1" ht="15.6" x14ac:dyDescent="0.3">
      <c r="A17" s="32" t="s">
        <v>41</v>
      </c>
    </row>
    <row r="18" spans="1:1" ht="36.75" customHeight="1" x14ac:dyDescent="0.3">
      <c r="A18" s="30" t="s">
        <v>42</v>
      </c>
    </row>
    <row r="19" spans="1:1" ht="15.6" x14ac:dyDescent="0.3">
      <c r="A19" s="32" t="s">
        <v>12</v>
      </c>
    </row>
    <row r="20" spans="1:1" ht="15.6" x14ac:dyDescent="0.3">
      <c r="A20" s="29" t="s">
        <v>19</v>
      </c>
    </row>
    <row r="21" spans="1:1" ht="15.6" x14ac:dyDescent="0.3">
      <c r="A21" s="29" t="s">
        <v>18</v>
      </c>
    </row>
    <row r="22" spans="1:1" ht="15.6" x14ac:dyDescent="0.3">
      <c r="A22" s="29" t="s">
        <v>24</v>
      </c>
    </row>
    <row r="23" spans="1:1" ht="15.6" x14ac:dyDescent="0.3">
      <c r="A23" s="29" t="s">
        <v>7</v>
      </c>
    </row>
    <row r="24" spans="1:1" ht="15.6" x14ac:dyDescent="0.3">
      <c r="A24" s="29" t="s">
        <v>25</v>
      </c>
    </row>
    <row r="25" spans="1:1" ht="15.6" x14ac:dyDescent="0.3">
      <c r="A25" s="29" t="s">
        <v>26</v>
      </c>
    </row>
    <row r="26" spans="1:1" ht="15.6" x14ac:dyDescent="0.3">
      <c r="A26" s="33"/>
    </row>
    <row r="27" spans="1:1" x14ac:dyDescent="0.3">
      <c r="A27" s="11"/>
    </row>
  </sheetData>
  <pageMargins left="0.7" right="0.7" top="0.75" bottom="0.75" header="0.3" footer="0.3"/>
  <pageSetup paperSize="9" scale="9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2"/>
  <sheetViews>
    <sheetView showGridLines="0" zoomScaleNormal="100" workbookViewId="0"/>
  </sheetViews>
  <sheetFormatPr defaultColWidth="9.109375" defaultRowHeight="14.4" x14ac:dyDescent="0.3"/>
  <cols>
    <col min="1" max="1" width="16.5546875" style="1" customWidth="1"/>
    <col min="2" max="5" width="13.77734375" style="4" customWidth="1"/>
    <col min="6" max="45" width="13.77734375" style="1" customWidth="1"/>
    <col min="46" max="16384" width="9.109375" style="1"/>
  </cols>
  <sheetData>
    <row r="1" spans="1:33" ht="21.75" customHeight="1" x14ac:dyDescent="0.3">
      <c r="A1" s="13" t="s">
        <v>22</v>
      </c>
      <c r="B1" s="14"/>
      <c r="C1" s="14"/>
      <c r="D1" s="14"/>
      <c r="E1" s="14"/>
      <c r="F1" s="15"/>
    </row>
    <row r="2" spans="1:33" ht="15" customHeight="1" x14ac:dyDescent="0.3">
      <c r="A2" s="39" t="s">
        <v>45</v>
      </c>
      <c r="B2" s="14"/>
      <c r="C2" s="14"/>
      <c r="D2" s="14"/>
      <c r="E2" s="14"/>
      <c r="F2" s="14"/>
      <c r="G2" s="14"/>
      <c r="H2" s="14"/>
      <c r="I2" s="14"/>
      <c r="J2" s="14"/>
      <c r="K2" s="14"/>
      <c r="L2" s="14"/>
    </row>
    <row r="3" spans="1:33" ht="27.6" customHeight="1" x14ac:dyDescent="0.3">
      <c r="A3" s="2" t="s">
        <v>27</v>
      </c>
    </row>
    <row r="4" spans="1:33" ht="17.25" customHeight="1" x14ac:dyDescent="0.3">
      <c r="A4" s="26" t="s">
        <v>37</v>
      </c>
    </row>
    <row r="5" spans="1:33" ht="17.25" customHeight="1" x14ac:dyDescent="0.3">
      <c r="A5" s="41" t="s">
        <v>83</v>
      </c>
    </row>
    <row r="6" spans="1:33" ht="22.2" customHeight="1" x14ac:dyDescent="0.3">
      <c r="A6" s="6" t="s">
        <v>5</v>
      </c>
      <c r="B6" s="7" t="s">
        <v>50</v>
      </c>
      <c r="C6" s="7" t="s">
        <v>51</v>
      </c>
      <c r="D6" s="7" t="s">
        <v>52</v>
      </c>
      <c r="E6" s="7" t="s">
        <v>53</v>
      </c>
      <c r="F6" s="7" t="s">
        <v>54</v>
      </c>
      <c r="G6" s="7" t="s">
        <v>55</v>
      </c>
      <c r="H6" s="7" t="s">
        <v>56</v>
      </c>
      <c r="I6" s="7" t="s">
        <v>57</v>
      </c>
      <c r="J6" s="7" t="s">
        <v>58</v>
      </c>
      <c r="K6" s="7" t="s">
        <v>59</v>
      </c>
      <c r="L6" s="7" t="s">
        <v>60</v>
      </c>
      <c r="M6" s="7" t="s">
        <v>61</v>
      </c>
      <c r="N6" s="7" t="s">
        <v>62</v>
      </c>
      <c r="O6" s="7" t="s">
        <v>63</v>
      </c>
      <c r="P6" s="7" t="s">
        <v>64</v>
      </c>
      <c r="Q6" s="7" t="s">
        <v>65</v>
      </c>
      <c r="R6" s="7" t="s">
        <v>66</v>
      </c>
      <c r="S6" s="7" t="s">
        <v>67</v>
      </c>
      <c r="T6" s="7" t="s">
        <v>68</v>
      </c>
      <c r="U6" s="7" t="s">
        <v>69</v>
      </c>
      <c r="V6" s="7" t="s">
        <v>70</v>
      </c>
      <c r="W6" s="7" t="s">
        <v>71</v>
      </c>
      <c r="X6" s="7" t="s">
        <v>72</v>
      </c>
      <c r="Y6" s="7" t="s">
        <v>73</v>
      </c>
      <c r="Z6" s="7" t="s">
        <v>74</v>
      </c>
      <c r="AA6" s="7" t="s">
        <v>75</v>
      </c>
      <c r="AB6" s="7" t="s">
        <v>76</v>
      </c>
      <c r="AC6" s="7" t="s">
        <v>77</v>
      </c>
      <c r="AD6" s="7" t="s">
        <v>78</v>
      </c>
      <c r="AE6" s="7" t="s">
        <v>79</v>
      </c>
      <c r="AF6" s="7" t="s">
        <v>80</v>
      </c>
      <c r="AG6" s="7" t="s">
        <v>81</v>
      </c>
    </row>
    <row r="7" spans="1:33" x14ac:dyDescent="0.3">
      <c r="A7" s="3" t="s">
        <v>0</v>
      </c>
      <c r="B7" s="34">
        <v>210</v>
      </c>
      <c r="C7" s="21">
        <v>153</v>
      </c>
      <c r="D7" s="21">
        <v>154</v>
      </c>
      <c r="E7" s="21">
        <v>132</v>
      </c>
      <c r="F7" s="21">
        <v>172</v>
      </c>
      <c r="G7" s="21">
        <v>149</v>
      </c>
      <c r="H7" s="21">
        <v>189</v>
      </c>
      <c r="I7" s="21">
        <v>167</v>
      </c>
      <c r="J7" s="21">
        <v>185</v>
      </c>
      <c r="K7" s="21">
        <v>132</v>
      </c>
      <c r="L7" s="21">
        <v>204</v>
      </c>
      <c r="M7" s="21">
        <v>187</v>
      </c>
      <c r="N7" s="21">
        <v>253</v>
      </c>
      <c r="O7" s="21">
        <v>198</v>
      </c>
      <c r="P7" s="21">
        <v>214</v>
      </c>
      <c r="Q7" s="21">
        <v>245</v>
      </c>
      <c r="R7" s="21">
        <v>290</v>
      </c>
      <c r="S7" s="21">
        <v>202</v>
      </c>
      <c r="T7" s="21">
        <v>278</v>
      </c>
      <c r="U7" s="21">
        <v>289</v>
      </c>
      <c r="V7" s="21">
        <v>235</v>
      </c>
      <c r="W7" s="21">
        <v>157</v>
      </c>
      <c r="X7" s="21">
        <v>211</v>
      </c>
      <c r="Y7" s="21">
        <v>240</v>
      </c>
      <c r="Z7" s="10">
        <v>105</v>
      </c>
      <c r="AA7" s="10">
        <v>140</v>
      </c>
      <c r="AB7" s="10">
        <v>191</v>
      </c>
      <c r="AC7" s="10">
        <v>221</v>
      </c>
      <c r="AD7" s="10">
        <v>213</v>
      </c>
      <c r="AE7" s="10">
        <v>257</v>
      </c>
      <c r="AF7" s="10">
        <v>266</v>
      </c>
      <c r="AG7" s="10">
        <v>282</v>
      </c>
    </row>
    <row r="8" spans="1:33" x14ac:dyDescent="0.3">
      <c r="A8" s="3" t="s">
        <v>1</v>
      </c>
      <c r="B8" s="34">
        <v>221</v>
      </c>
      <c r="C8" s="21">
        <v>188</v>
      </c>
      <c r="D8" s="21">
        <v>208</v>
      </c>
      <c r="E8" s="21">
        <v>196</v>
      </c>
      <c r="F8" s="21">
        <v>198</v>
      </c>
      <c r="G8" s="21">
        <v>267</v>
      </c>
      <c r="H8" s="21">
        <v>190</v>
      </c>
      <c r="I8" s="21">
        <v>255</v>
      </c>
      <c r="J8" s="21">
        <v>265</v>
      </c>
      <c r="K8" s="21">
        <v>250</v>
      </c>
      <c r="L8" s="21">
        <v>285</v>
      </c>
      <c r="M8" s="21">
        <v>270</v>
      </c>
      <c r="N8" s="21">
        <v>350</v>
      </c>
      <c r="O8" s="21">
        <v>382</v>
      </c>
      <c r="P8" s="21">
        <v>397</v>
      </c>
      <c r="Q8" s="21">
        <v>411</v>
      </c>
      <c r="R8" s="21">
        <v>397</v>
      </c>
      <c r="S8" s="21">
        <v>323</v>
      </c>
      <c r="T8" s="21">
        <v>498</v>
      </c>
      <c r="U8" s="21">
        <v>503</v>
      </c>
      <c r="V8" s="21">
        <v>485</v>
      </c>
      <c r="W8" s="21">
        <v>444</v>
      </c>
      <c r="X8" s="21">
        <v>549</v>
      </c>
      <c r="Y8" s="21">
        <v>503</v>
      </c>
      <c r="Z8" s="10">
        <v>365</v>
      </c>
      <c r="AA8" s="10">
        <v>278</v>
      </c>
      <c r="AB8" s="10">
        <v>378</v>
      </c>
      <c r="AC8" s="10">
        <v>416</v>
      </c>
      <c r="AD8" s="10">
        <v>529</v>
      </c>
      <c r="AE8" s="10">
        <v>396</v>
      </c>
      <c r="AF8" s="10">
        <v>550</v>
      </c>
      <c r="AG8" s="10">
        <v>516</v>
      </c>
    </row>
    <row r="9" spans="1:33" x14ac:dyDescent="0.3">
      <c r="A9" s="3" t="s">
        <v>2</v>
      </c>
      <c r="B9" s="34">
        <v>106</v>
      </c>
      <c r="C9" s="21">
        <v>103</v>
      </c>
      <c r="D9" s="21">
        <v>83</v>
      </c>
      <c r="E9" s="21">
        <v>91</v>
      </c>
      <c r="F9" s="21">
        <v>140</v>
      </c>
      <c r="G9" s="21">
        <v>116</v>
      </c>
      <c r="H9" s="21">
        <v>147</v>
      </c>
      <c r="I9" s="21">
        <v>121</v>
      </c>
      <c r="J9" s="21">
        <v>163</v>
      </c>
      <c r="K9" s="21">
        <v>148</v>
      </c>
      <c r="L9" s="21">
        <v>168</v>
      </c>
      <c r="M9" s="21">
        <v>165</v>
      </c>
      <c r="N9" s="21">
        <v>151</v>
      </c>
      <c r="O9" s="21">
        <v>112</v>
      </c>
      <c r="P9" s="21">
        <v>139</v>
      </c>
      <c r="Q9" s="21">
        <v>147</v>
      </c>
      <c r="R9" s="21">
        <v>165</v>
      </c>
      <c r="S9" s="21">
        <v>85</v>
      </c>
      <c r="T9" s="21">
        <v>107</v>
      </c>
      <c r="U9" s="21">
        <v>110</v>
      </c>
      <c r="V9" s="21">
        <v>164</v>
      </c>
      <c r="W9" s="21">
        <v>96</v>
      </c>
      <c r="X9" s="21">
        <v>116</v>
      </c>
      <c r="Y9" s="21">
        <v>126</v>
      </c>
      <c r="Z9" s="10">
        <v>68</v>
      </c>
      <c r="AA9" s="10">
        <v>72</v>
      </c>
      <c r="AB9" s="10">
        <v>123</v>
      </c>
      <c r="AC9" s="10">
        <v>136</v>
      </c>
      <c r="AD9" s="10">
        <v>168</v>
      </c>
      <c r="AE9" s="10">
        <v>126</v>
      </c>
      <c r="AF9" s="10">
        <v>178</v>
      </c>
      <c r="AG9" s="10">
        <v>162</v>
      </c>
    </row>
    <row r="10" spans="1:33" x14ac:dyDescent="0.3">
      <c r="A10" s="3" t="s">
        <v>3</v>
      </c>
      <c r="B10" s="34">
        <v>80</v>
      </c>
      <c r="C10" s="21">
        <v>50</v>
      </c>
      <c r="D10" s="21">
        <v>61</v>
      </c>
      <c r="E10" s="21">
        <v>58</v>
      </c>
      <c r="F10" s="21">
        <v>92</v>
      </c>
      <c r="G10" s="21">
        <v>65</v>
      </c>
      <c r="H10" s="21">
        <v>65</v>
      </c>
      <c r="I10" s="21">
        <v>78</v>
      </c>
      <c r="J10" s="21">
        <v>120</v>
      </c>
      <c r="K10" s="21">
        <v>99</v>
      </c>
      <c r="L10" s="21">
        <v>83</v>
      </c>
      <c r="M10" s="21">
        <v>89</v>
      </c>
      <c r="N10" s="21">
        <v>101</v>
      </c>
      <c r="O10" s="21">
        <v>110</v>
      </c>
      <c r="P10" s="21">
        <v>130</v>
      </c>
      <c r="Q10" s="21">
        <v>182</v>
      </c>
      <c r="R10" s="21">
        <v>179</v>
      </c>
      <c r="S10" s="21">
        <v>162</v>
      </c>
      <c r="T10" s="21">
        <v>147</v>
      </c>
      <c r="U10" s="21">
        <v>175</v>
      </c>
      <c r="V10" s="21">
        <v>206</v>
      </c>
      <c r="W10" s="21">
        <v>152</v>
      </c>
      <c r="X10" s="21">
        <v>143</v>
      </c>
      <c r="Y10" s="21">
        <v>167</v>
      </c>
      <c r="Z10" s="10">
        <v>83</v>
      </c>
      <c r="AA10" s="10">
        <v>93</v>
      </c>
      <c r="AB10" s="10">
        <v>139</v>
      </c>
      <c r="AC10" s="10">
        <v>211</v>
      </c>
      <c r="AD10" s="10">
        <v>207</v>
      </c>
      <c r="AE10" s="10">
        <v>176</v>
      </c>
      <c r="AF10" s="10">
        <v>195</v>
      </c>
      <c r="AG10" s="10">
        <v>243</v>
      </c>
    </row>
    <row r="11" spans="1:33" x14ac:dyDescent="0.3">
      <c r="A11" s="3" t="s">
        <v>4</v>
      </c>
      <c r="B11" s="34">
        <v>119</v>
      </c>
      <c r="C11" s="21">
        <v>79</v>
      </c>
      <c r="D11" s="21">
        <v>97</v>
      </c>
      <c r="E11" s="21">
        <v>100</v>
      </c>
      <c r="F11" s="21">
        <v>121</v>
      </c>
      <c r="G11" s="21">
        <v>106</v>
      </c>
      <c r="H11" s="21">
        <v>163</v>
      </c>
      <c r="I11" s="21">
        <v>109</v>
      </c>
      <c r="J11" s="21">
        <v>143</v>
      </c>
      <c r="K11" s="21">
        <v>107</v>
      </c>
      <c r="L11" s="21">
        <v>94</v>
      </c>
      <c r="M11" s="21">
        <v>154</v>
      </c>
      <c r="N11" s="21">
        <v>142</v>
      </c>
      <c r="O11" s="21">
        <v>144</v>
      </c>
      <c r="P11" s="21">
        <v>130</v>
      </c>
      <c r="Q11" s="21">
        <v>159</v>
      </c>
      <c r="R11" s="21">
        <v>195</v>
      </c>
      <c r="S11" s="21">
        <v>173</v>
      </c>
      <c r="T11" s="21">
        <v>138</v>
      </c>
      <c r="U11" s="21">
        <v>180</v>
      </c>
      <c r="V11" s="21">
        <v>202</v>
      </c>
      <c r="W11" s="21">
        <v>165</v>
      </c>
      <c r="X11" s="21">
        <v>134</v>
      </c>
      <c r="Y11" s="21">
        <v>187</v>
      </c>
      <c r="Z11" s="10">
        <v>107</v>
      </c>
      <c r="AA11" s="10">
        <v>118</v>
      </c>
      <c r="AB11" s="10">
        <v>179</v>
      </c>
      <c r="AC11" s="10">
        <v>166</v>
      </c>
      <c r="AD11" s="10">
        <v>191</v>
      </c>
      <c r="AE11" s="10">
        <v>175</v>
      </c>
      <c r="AF11" s="10">
        <v>171</v>
      </c>
      <c r="AG11" s="10">
        <v>211</v>
      </c>
    </row>
    <row r="12" spans="1:33" x14ac:dyDescent="0.3">
      <c r="A12" s="5" t="s">
        <v>6</v>
      </c>
      <c r="B12" s="22">
        <v>736</v>
      </c>
      <c r="C12" s="22">
        <v>573</v>
      </c>
      <c r="D12" s="22">
        <v>603</v>
      </c>
      <c r="E12" s="22">
        <v>577</v>
      </c>
      <c r="F12" s="22">
        <v>723</v>
      </c>
      <c r="G12" s="22">
        <v>703</v>
      </c>
      <c r="H12" s="22">
        <v>754</v>
      </c>
      <c r="I12" s="22">
        <v>730</v>
      </c>
      <c r="J12" s="22">
        <v>876</v>
      </c>
      <c r="K12" s="22">
        <v>736</v>
      </c>
      <c r="L12" s="22">
        <v>834</v>
      </c>
      <c r="M12" s="22">
        <v>865</v>
      </c>
      <c r="N12" s="22">
        <v>997</v>
      </c>
      <c r="O12" s="22">
        <v>946</v>
      </c>
      <c r="P12" s="22">
        <v>1010</v>
      </c>
      <c r="Q12" s="22">
        <v>1144</v>
      </c>
      <c r="R12" s="22">
        <v>1226</v>
      </c>
      <c r="S12" s="22">
        <v>945</v>
      </c>
      <c r="T12" s="22">
        <v>1168</v>
      </c>
      <c r="U12" s="22">
        <v>1257</v>
      </c>
      <c r="V12" s="22">
        <v>1292</v>
      </c>
      <c r="W12" s="22">
        <v>1014</v>
      </c>
      <c r="X12" s="22">
        <v>1153</v>
      </c>
      <c r="Y12" s="22">
        <v>1223</v>
      </c>
      <c r="Z12" s="8">
        <v>728</v>
      </c>
      <c r="AA12" s="8">
        <v>701</v>
      </c>
      <c r="AB12" s="22">
        <v>1010</v>
      </c>
      <c r="AC12" s="22">
        <v>1150</v>
      </c>
      <c r="AD12" s="22">
        <v>1308</v>
      </c>
      <c r="AE12" s="22">
        <v>1130</v>
      </c>
      <c r="AF12" s="22">
        <v>1360</v>
      </c>
      <c r="AG12" s="22">
        <v>1414</v>
      </c>
    </row>
    <row r="13" spans="1:33" ht="27" customHeight="1" x14ac:dyDescent="0.3">
      <c r="A13" s="2" t="s">
        <v>44</v>
      </c>
    </row>
    <row r="14" spans="1:33" x14ac:dyDescent="0.3">
      <c r="A14" s="26" t="s">
        <v>37</v>
      </c>
    </row>
    <row r="15" spans="1:33" ht="13.5" customHeight="1" x14ac:dyDescent="0.3">
      <c r="A15" s="26" t="s">
        <v>82</v>
      </c>
    </row>
    <row r="16" spans="1:33" ht="57.6" x14ac:dyDescent="0.3">
      <c r="A16" s="6" t="s">
        <v>5</v>
      </c>
      <c r="B16" s="7" t="s">
        <v>28</v>
      </c>
      <c r="C16" s="7" t="s">
        <v>20</v>
      </c>
      <c r="D16" s="23" t="s">
        <v>21</v>
      </c>
      <c r="E16" s="19"/>
      <c r="F16" s="17"/>
      <c r="G16" s="17"/>
      <c r="H16" s="17"/>
    </row>
    <row r="17" spans="1:8" x14ac:dyDescent="0.3">
      <c r="A17" s="3" t="s">
        <v>0</v>
      </c>
      <c r="B17" s="34">
        <v>1018</v>
      </c>
      <c r="C17" s="21">
        <v>77506</v>
      </c>
      <c r="D17" s="25">
        <v>131.34467009005755</v>
      </c>
      <c r="E17" s="16"/>
      <c r="F17" s="17"/>
      <c r="G17" s="16"/>
      <c r="H17" s="18"/>
    </row>
    <row r="18" spans="1:8" x14ac:dyDescent="0.3">
      <c r="A18" s="3" t="s">
        <v>1</v>
      </c>
      <c r="B18" s="34">
        <v>1991</v>
      </c>
      <c r="C18" s="21">
        <v>109282</v>
      </c>
      <c r="D18" s="25">
        <v>182.18919858714153</v>
      </c>
      <c r="E18" s="16"/>
      <c r="F18" s="17"/>
      <c r="G18" s="16"/>
      <c r="H18" s="18"/>
    </row>
    <row r="19" spans="1:8" x14ac:dyDescent="0.3">
      <c r="A19" s="3" t="s">
        <v>2</v>
      </c>
      <c r="B19" s="34">
        <v>634</v>
      </c>
      <c r="C19" s="21">
        <v>81712</v>
      </c>
      <c r="D19" s="25">
        <v>77.589582925396513</v>
      </c>
      <c r="E19" s="16"/>
      <c r="F19" s="17"/>
      <c r="G19" s="16"/>
      <c r="H19" s="18"/>
    </row>
    <row r="20" spans="1:8" x14ac:dyDescent="0.3">
      <c r="A20" s="3" t="s">
        <v>3</v>
      </c>
      <c r="B20" s="34">
        <v>821</v>
      </c>
      <c r="C20" s="21">
        <v>99466</v>
      </c>
      <c r="D20" s="25">
        <v>82.540767699515413</v>
      </c>
      <c r="E20" s="16"/>
      <c r="F20" s="17"/>
      <c r="G20" s="16"/>
      <c r="H20" s="18"/>
    </row>
    <row r="21" spans="1:8" x14ac:dyDescent="0.3">
      <c r="A21" s="3" t="s">
        <v>4</v>
      </c>
      <c r="B21" s="34">
        <v>748</v>
      </c>
      <c r="C21" s="21">
        <v>73142</v>
      </c>
      <c r="D21" s="25">
        <v>102.26682343933717</v>
      </c>
      <c r="E21" s="16"/>
      <c r="F21" s="17"/>
      <c r="G21" s="16"/>
      <c r="H21" s="18"/>
    </row>
    <row r="22" spans="1:8" x14ac:dyDescent="0.3">
      <c r="A22" s="5" t="s">
        <v>6</v>
      </c>
      <c r="B22" s="22">
        <v>5212</v>
      </c>
      <c r="C22" s="22">
        <v>441108</v>
      </c>
      <c r="D22" s="24">
        <v>118.15700463378582</v>
      </c>
      <c r="E22" s="20"/>
      <c r="F22" s="17"/>
      <c r="G22" s="17"/>
      <c r="H22" s="18"/>
    </row>
  </sheetData>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showGridLines="0" workbookViewId="0"/>
  </sheetViews>
  <sheetFormatPr defaultRowHeight="14.4" x14ac:dyDescent="0.3"/>
  <sheetData>
    <row r="1" spans="1:1" ht="15.6" x14ac:dyDescent="0.3">
      <c r="A1" s="13" t="s">
        <v>22</v>
      </c>
    </row>
    <row r="2" spans="1:1" x14ac:dyDescent="0.3">
      <c r="A2" s="39" t="s">
        <v>33</v>
      </c>
    </row>
    <row r="3" spans="1:1" x14ac:dyDescent="0.3">
      <c r="A3" s="26" t="s">
        <v>37</v>
      </c>
    </row>
    <row r="4" spans="1:1" x14ac:dyDescent="0.3">
      <c r="A4" s="41" t="s">
        <v>83</v>
      </c>
    </row>
  </sheetData>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3"/>
  <sheetViews>
    <sheetView showGridLines="0" zoomScaleNormal="100" workbookViewId="0"/>
  </sheetViews>
  <sheetFormatPr defaultColWidth="9.109375" defaultRowHeight="14.4" x14ac:dyDescent="0.3"/>
  <cols>
    <col min="1" max="1" width="22.88671875" style="1" customWidth="1"/>
    <col min="2" max="5" width="13.77734375" style="4" customWidth="1"/>
    <col min="6" max="41" width="13.77734375" style="1" customWidth="1"/>
    <col min="42" max="16384" width="9.109375" style="1"/>
  </cols>
  <sheetData>
    <row r="1" spans="1:33" ht="21.75" customHeight="1" x14ac:dyDescent="0.3">
      <c r="A1" s="13" t="s">
        <v>23</v>
      </c>
      <c r="B1" s="14"/>
      <c r="C1" s="14"/>
      <c r="D1" s="14"/>
      <c r="E1" s="14"/>
      <c r="F1" s="15"/>
    </row>
    <row r="2" spans="1:33" ht="15" customHeight="1" x14ac:dyDescent="0.3">
      <c r="A2" s="39" t="s">
        <v>46</v>
      </c>
      <c r="B2" s="14"/>
      <c r="C2" s="14"/>
      <c r="D2" s="14"/>
      <c r="E2" s="14"/>
      <c r="F2" s="14"/>
    </row>
    <row r="3" spans="1:33" ht="28.2" customHeight="1" x14ac:dyDescent="0.3">
      <c r="A3" s="2" t="s">
        <v>39</v>
      </c>
    </row>
    <row r="4" spans="1:33" x14ac:dyDescent="0.3">
      <c r="A4" s="26" t="s">
        <v>36</v>
      </c>
    </row>
    <row r="5" spans="1:33" x14ac:dyDescent="0.3">
      <c r="A5" s="41" t="s">
        <v>83</v>
      </c>
    </row>
    <row r="6" spans="1:33" ht="17.25" customHeight="1" x14ac:dyDescent="0.3">
      <c r="A6" s="17" t="s">
        <v>32</v>
      </c>
    </row>
    <row r="7" spans="1:33" s="35" customFormat="1" ht="22.2" customHeight="1" x14ac:dyDescent="0.3">
      <c r="A7" s="6" t="s">
        <v>5</v>
      </c>
      <c r="B7" s="7" t="s">
        <v>50</v>
      </c>
      <c r="C7" s="7" t="s">
        <v>51</v>
      </c>
      <c r="D7" s="7" t="s">
        <v>52</v>
      </c>
      <c r="E7" s="7" t="s">
        <v>53</v>
      </c>
      <c r="F7" s="7" t="s">
        <v>54</v>
      </c>
      <c r="G7" s="7" t="s">
        <v>55</v>
      </c>
      <c r="H7" s="7" t="s">
        <v>56</v>
      </c>
      <c r="I7" s="7" t="s">
        <v>57</v>
      </c>
      <c r="J7" s="7" t="s">
        <v>58</v>
      </c>
      <c r="K7" s="7" t="s">
        <v>59</v>
      </c>
      <c r="L7" s="7" t="s">
        <v>60</v>
      </c>
      <c r="M7" s="7" t="s">
        <v>61</v>
      </c>
      <c r="N7" s="7" t="s">
        <v>62</v>
      </c>
      <c r="O7" s="7" t="s">
        <v>63</v>
      </c>
      <c r="P7" s="7" t="s">
        <v>64</v>
      </c>
      <c r="Q7" s="7" t="s">
        <v>65</v>
      </c>
      <c r="R7" s="7" t="s">
        <v>66</v>
      </c>
      <c r="S7" s="7" t="s">
        <v>67</v>
      </c>
      <c r="T7" s="7" t="s">
        <v>68</v>
      </c>
      <c r="U7" s="7" t="s">
        <v>69</v>
      </c>
      <c r="V7" s="7" t="s">
        <v>70</v>
      </c>
      <c r="W7" s="7" t="s">
        <v>71</v>
      </c>
      <c r="X7" s="7" t="s">
        <v>72</v>
      </c>
      <c r="Y7" s="7" t="s">
        <v>73</v>
      </c>
      <c r="Z7" s="7" t="s">
        <v>74</v>
      </c>
      <c r="AA7" s="7" t="s">
        <v>75</v>
      </c>
      <c r="AB7" s="7" t="s">
        <v>76</v>
      </c>
      <c r="AC7" s="7" t="s">
        <v>77</v>
      </c>
      <c r="AD7" s="7" t="s">
        <v>78</v>
      </c>
      <c r="AE7" s="7" t="s">
        <v>79</v>
      </c>
      <c r="AF7" s="7" t="s">
        <v>80</v>
      </c>
      <c r="AG7" s="7" t="s">
        <v>81</v>
      </c>
    </row>
    <row r="8" spans="1:33" x14ac:dyDescent="0.3">
      <c r="A8" s="3" t="s">
        <v>0</v>
      </c>
      <c r="B8" s="9">
        <v>66</v>
      </c>
      <c r="C8" s="10">
        <v>59</v>
      </c>
      <c r="D8" s="10">
        <v>77</v>
      </c>
      <c r="E8" s="10">
        <v>65</v>
      </c>
      <c r="F8" s="10">
        <v>96</v>
      </c>
      <c r="G8" s="10">
        <v>59</v>
      </c>
      <c r="H8" s="10">
        <v>87</v>
      </c>
      <c r="I8" s="10">
        <v>111</v>
      </c>
      <c r="J8" s="10">
        <v>117</v>
      </c>
      <c r="K8" s="10">
        <v>83</v>
      </c>
      <c r="L8" s="10">
        <v>92</v>
      </c>
      <c r="M8" s="10">
        <v>155</v>
      </c>
      <c r="N8" s="10">
        <v>160</v>
      </c>
      <c r="O8" s="10">
        <v>116</v>
      </c>
      <c r="P8" s="10">
        <v>136</v>
      </c>
      <c r="Q8" s="10">
        <v>157</v>
      </c>
      <c r="R8" s="10">
        <v>213</v>
      </c>
      <c r="S8" s="10">
        <v>172</v>
      </c>
      <c r="T8" s="10">
        <v>191</v>
      </c>
      <c r="U8" s="10">
        <v>236</v>
      </c>
      <c r="V8" s="10">
        <v>177</v>
      </c>
      <c r="W8" s="10">
        <v>107</v>
      </c>
      <c r="X8" s="10">
        <v>116</v>
      </c>
      <c r="Y8" s="10">
        <v>135</v>
      </c>
      <c r="Z8" s="10">
        <v>34</v>
      </c>
      <c r="AA8" s="10">
        <v>2</v>
      </c>
      <c r="AB8" s="10">
        <v>10</v>
      </c>
      <c r="AC8" s="10">
        <v>44</v>
      </c>
      <c r="AD8" s="10">
        <v>58</v>
      </c>
      <c r="AE8" s="10">
        <v>103</v>
      </c>
      <c r="AF8" s="10">
        <v>83</v>
      </c>
      <c r="AG8" s="10">
        <v>90</v>
      </c>
    </row>
    <row r="9" spans="1:33" x14ac:dyDescent="0.3">
      <c r="A9" s="3" t="s">
        <v>1</v>
      </c>
      <c r="B9" s="9">
        <v>94</v>
      </c>
      <c r="C9" s="10">
        <v>102</v>
      </c>
      <c r="D9" s="10">
        <v>82</v>
      </c>
      <c r="E9" s="10">
        <v>78</v>
      </c>
      <c r="F9" s="10">
        <v>93</v>
      </c>
      <c r="G9" s="10">
        <v>124</v>
      </c>
      <c r="H9" s="10">
        <v>153</v>
      </c>
      <c r="I9" s="10">
        <v>207</v>
      </c>
      <c r="J9" s="10">
        <v>182</v>
      </c>
      <c r="K9" s="10">
        <v>148</v>
      </c>
      <c r="L9" s="10">
        <v>159</v>
      </c>
      <c r="M9" s="10">
        <v>187</v>
      </c>
      <c r="N9" s="10">
        <v>219</v>
      </c>
      <c r="O9" s="10">
        <v>257</v>
      </c>
      <c r="P9" s="10">
        <v>215</v>
      </c>
      <c r="Q9" s="10">
        <v>163</v>
      </c>
      <c r="R9" s="10">
        <v>199</v>
      </c>
      <c r="S9" s="10">
        <v>186</v>
      </c>
      <c r="T9" s="10">
        <v>239</v>
      </c>
      <c r="U9" s="10">
        <v>231</v>
      </c>
      <c r="V9" s="10">
        <v>249</v>
      </c>
      <c r="W9" s="10">
        <v>273</v>
      </c>
      <c r="X9" s="10">
        <v>234</v>
      </c>
      <c r="Y9" s="10">
        <v>232</v>
      </c>
      <c r="Z9" s="10">
        <v>13</v>
      </c>
      <c r="AA9" s="10">
        <v>5</v>
      </c>
      <c r="AB9" s="10">
        <v>107</v>
      </c>
      <c r="AC9" s="10">
        <v>123</v>
      </c>
      <c r="AD9" s="10">
        <v>171</v>
      </c>
      <c r="AE9" s="10">
        <v>178</v>
      </c>
      <c r="AF9" s="10">
        <v>225</v>
      </c>
      <c r="AG9" s="10">
        <v>193</v>
      </c>
    </row>
    <row r="10" spans="1:33" x14ac:dyDescent="0.3">
      <c r="A10" s="3" t="s">
        <v>2</v>
      </c>
      <c r="B10" s="9">
        <v>61</v>
      </c>
      <c r="C10" s="10">
        <v>61</v>
      </c>
      <c r="D10" s="10">
        <v>80</v>
      </c>
      <c r="E10" s="10">
        <v>66</v>
      </c>
      <c r="F10" s="10">
        <v>69</v>
      </c>
      <c r="G10" s="10">
        <v>40</v>
      </c>
      <c r="H10" s="10">
        <v>63</v>
      </c>
      <c r="I10" s="10">
        <v>60</v>
      </c>
      <c r="J10" s="10">
        <v>72</v>
      </c>
      <c r="K10" s="10">
        <v>127</v>
      </c>
      <c r="L10" s="10">
        <v>142</v>
      </c>
      <c r="M10" s="10">
        <v>136</v>
      </c>
      <c r="N10" s="10">
        <v>116</v>
      </c>
      <c r="O10" s="10">
        <v>88</v>
      </c>
      <c r="P10" s="10">
        <v>85</v>
      </c>
      <c r="Q10" s="10">
        <v>79</v>
      </c>
      <c r="R10" s="10">
        <v>128</v>
      </c>
      <c r="S10" s="10">
        <v>151</v>
      </c>
      <c r="T10" s="10">
        <v>94</v>
      </c>
      <c r="U10" s="10">
        <v>95</v>
      </c>
      <c r="V10" s="10">
        <v>85</v>
      </c>
      <c r="W10" s="10">
        <v>86</v>
      </c>
      <c r="X10" s="10">
        <v>73</v>
      </c>
      <c r="Y10" s="10">
        <v>74</v>
      </c>
      <c r="Z10" s="10">
        <v>9</v>
      </c>
      <c r="AA10" s="10">
        <v>32</v>
      </c>
      <c r="AB10" s="10">
        <v>84</v>
      </c>
      <c r="AC10" s="10">
        <v>124</v>
      </c>
      <c r="AD10" s="10">
        <v>125</v>
      </c>
      <c r="AE10" s="10">
        <v>92</v>
      </c>
      <c r="AF10" s="10">
        <v>129</v>
      </c>
      <c r="AG10" s="10">
        <v>111</v>
      </c>
    </row>
    <row r="11" spans="1:33" x14ac:dyDescent="0.3">
      <c r="A11" s="3" t="s">
        <v>3</v>
      </c>
      <c r="B11" s="9">
        <v>12</v>
      </c>
      <c r="C11" s="10">
        <v>18</v>
      </c>
      <c r="D11" s="10">
        <v>27</v>
      </c>
      <c r="E11" s="10">
        <v>23</v>
      </c>
      <c r="F11" s="10">
        <v>21</v>
      </c>
      <c r="G11" s="10">
        <v>34</v>
      </c>
      <c r="H11" s="10">
        <v>38</v>
      </c>
      <c r="I11" s="10">
        <v>65</v>
      </c>
      <c r="J11" s="10">
        <v>46</v>
      </c>
      <c r="K11" s="10">
        <v>44</v>
      </c>
      <c r="L11" s="10">
        <v>36</v>
      </c>
      <c r="M11" s="10">
        <v>43</v>
      </c>
      <c r="N11" s="10">
        <v>38</v>
      </c>
      <c r="O11" s="10">
        <v>56</v>
      </c>
      <c r="P11" s="10">
        <v>79</v>
      </c>
      <c r="Q11" s="10">
        <v>61</v>
      </c>
      <c r="R11" s="10">
        <v>60</v>
      </c>
      <c r="S11" s="10">
        <v>98</v>
      </c>
      <c r="T11" s="10">
        <v>72</v>
      </c>
      <c r="U11" s="10">
        <v>84</v>
      </c>
      <c r="V11" s="10">
        <v>70</v>
      </c>
      <c r="W11" s="10">
        <v>82</v>
      </c>
      <c r="X11" s="10">
        <v>95</v>
      </c>
      <c r="Y11" s="10">
        <v>105</v>
      </c>
      <c r="Z11" s="10">
        <v>54</v>
      </c>
      <c r="AA11" s="10">
        <v>115</v>
      </c>
      <c r="AB11" s="10">
        <v>121</v>
      </c>
      <c r="AC11" s="10">
        <v>127</v>
      </c>
      <c r="AD11" s="10">
        <v>171</v>
      </c>
      <c r="AE11" s="10">
        <v>135</v>
      </c>
      <c r="AF11" s="10">
        <v>131</v>
      </c>
      <c r="AG11" s="10">
        <v>114</v>
      </c>
    </row>
    <row r="12" spans="1:33" x14ac:dyDescent="0.3">
      <c r="A12" s="3" t="s">
        <v>4</v>
      </c>
      <c r="B12" s="9">
        <v>53</v>
      </c>
      <c r="C12" s="10">
        <v>23</v>
      </c>
      <c r="D12" s="10">
        <v>49</v>
      </c>
      <c r="E12" s="10">
        <v>40</v>
      </c>
      <c r="F12" s="10">
        <v>35</v>
      </c>
      <c r="G12" s="10">
        <v>35</v>
      </c>
      <c r="H12" s="10">
        <v>41</v>
      </c>
      <c r="I12" s="10">
        <v>41</v>
      </c>
      <c r="J12" s="10">
        <v>65</v>
      </c>
      <c r="K12" s="10">
        <v>33</v>
      </c>
      <c r="L12" s="10">
        <v>34</v>
      </c>
      <c r="M12" s="10">
        <v>41</v>
      </c>
      <c r="N12" s="10">
        <v>69</v>
      </c>
      <c r="O12" s="10">
        <v>78</v>
      </c>
      <c r="P12" s="10">
        <v>73</v>
      </c>
      <c r="Q12" s="10">
        <v>76</v>
      </c>
      <c r="R12" s="10">
        <v>97</v>
      </c>
      <c r="S12" s="10">
        <v>71</v>
      </c>
      <c r="T12" s="10">
        <v>81</v>
      </c>
      <c r="U12" s="10">
        <v>111</v>
      </c>
      <c r="V12" s="10">
        <v>100</v>
      </c>
      <c r="W12" s="10">
        <v>66</v>
      </c>
      <c r="X12" s="10">
        <v>79</v>
      </c>
      <c r="Y12" s="10">
        <v>124</v>
      </c>
      <c r="Z12" s="10">
        <v>24</v>
      </c>
      <c r="AA12" s="10">
        <v>29</v>
      </c>
      <c r="AB12" s="10">
        <v>65</v>
      </c>
      <c r="AC12" s="10">
        <v>71</v>
      </c>
      <c r="AD12" s="10">
        <v>96</v>
      </c>
      <c r="AE12" s="10">
        <v>101</v>
      </c>
      <c r="AF12" s="10">
        <v>114</v>
      </c>
      <c r="AG12" s="10">
        <v>143</v>
      </c>
    </row>
    <row r="13" spans="1:33" x14ac:dyDescent="0.3">
      <c r="A13" s="5" t="s">
        <v>6</v>
      </c>
      <c r="B13" s="8">
        <v>286</v>
      </c>
      <c r="C13" s="8">
        <v>263</v>
      </c>
      <c r="D13" s="8">
        <v>315</v>
      </c>
      <c r="E13" s="8">
        <v>272</v>
      </c>
      <c r="F13" s="8">
        <v>314</v>
      </c>
      <c r="G13" s="8">
        <v>292</v>
      </c>
      <c r="H13" s="8">
        <v>382</v>
      </c>
      <c r="I13" s="8">
        <v>484</v>
      </c>
      <c r="J13" s="8">
        <v>482</v>
      </c>
      <c r="K13" s="8">
        <v>435</v>
      </c>
      <c r="L13" s="8">
        <v>463</v>
      </c>
      <c r="M13" s="8">
        <v>562</v>
      </c>
      <c r="N13" s="8">
        <v>602</v>
      </c>
      <c r="O13" s="8">
        <v>595</v>
      </c>
      <c r="P13" s="8">
        <v>588</v>
      </c>
      <c r="Q13" s="8">
        <v>536</v>
      </c>
      <c r="R13" s="8">
        <v>697</v>
      </c>
      <c r="S13" s="8">
        <v>678</v>
      </c>
      <c r="T13" s="8">
        <v>677</v>
      </c>
      <c r="U13" s="8">
        <v>757</v>
      </c>
      <c r="V13" s="8">
        <v>681</v>
      </c>
      <c r="W13" s="8">
        <v>614</v>
      </c>
      <c r="X13" s="8">
        <v>597</v>
      </c>
      <c r="Y13" s="8">
        <v>670</v>
      </c>
      <c r="Z13" s="8">
        <v>134</v>
      </c>
      <c r="AA13" s="8">
        <v>183</v>
      </c>
      <c r="AB13" s="8">
        <f>SUM(AB8:AB12)</f>
        <v>387</v>
      </c>
      <c r="AC13" s="8">
        <v>489</v>
      </c>
      <c r="AD13" s="8">
        <v>621</v>
      </c>
      <c r="AE13" s="8">
        <v>609</v>
      </c>
      <c r="AF13" s="8">
        <v>682</v>
      </c>
      <c r="AG13" s="8">
        <v>651</v>
      </c>
    </row>
    <row r="14" spans="1:33" ht="27.6" customHeight="1" x14ac:dyDescent="0.3">
      <c r="A14" s="2" t="s">
        <v>47</v>
      </c>
    </row>
    <row r="15" spans="1:33" x14ac:dyDescent="0.3">
      <c r="A15" s="26" t="s">
        <v>37</v>
      </c>
    </row>
    <row r="16" spans="1:33" x14ac:dyDescent="0.3">
      <c r="A16" s="26" t="s">
        <v>82</v>
      </c>
    </row>
    <row r="17" spans="1:6" ht="48" customHeight="1" x14ac:dyDescent="0.3">
      <c r="A17" s="6" t="s">
        <v>5</v>
      </c>
      <c r="B17" s="36" t="s">
        <v>31</v>
      </c>
      <c r="C17" s="36" t="s">
        <v>20</v>
      </c>
      <c r="D17" s="37" t="s">
        <v>21</v>
      </c>
      <c r="E17" s="19"/>
      <c r="F17" s="17"/>
    </row>
    <row r="18" spans="1:6" x14ac:dyDescent="0.3">
      <c r="A18" s="3" t="s">
        <v>0</v>
      </c>
      <c r="B18" s="9">
        <v>334</v>
      </c>
      <c r="C18" s="21">
        <v>77506</v>
      </c>
      <c r="D18" s="25">
        <v>43.093437927386269</v>
      </c>
      <c r="E18" s="16"/>
      <c r="F18" s="17"/>
    </row>
    <row r="19" spans="1:6" x14ac:dyDescent="0.3">
      <c r="A19" s="3" t="s">
        <v>1</v>
      </c>
      <c r="B19" s="9">
        <v>767</v>
      </c>
      <c r="C19" s="21">
        <v>109282</v>
      </c>
      <c r="D19" s="25">
        <v>70.185391921816944</v>
      </c>
      <c r="E19" s="16"/>
      <c r="F19" s="17"/>
    </row>
    <row r="20" spans="1:6" x14ac:dyDescent="0.3">
      <c r="A20" s="3" t="s">
        <v>2</v>
      </c>
      <c r="B20" s="9">
        <v>457</v>
      </c>
      <c r="C20" s="21">
        <v>81712</v>
      </c>
      <c r="D20" s="25">
        <v>55.928137850009797</v>
      </c>
      <c r="E20" s="16"/>
      <c r="F20" s="17"/>
    </row>
    <row r="21" spans="1:6" x14ac:dyDescent="0.3">
      <c r="A21" s="3" t="s">
        <v>3</v>
      </c>
      <c r="B21" s="9">
        <v>551</v>
      </c>
      <c r="C21" s="21">
        <v>99466</v>
      </c>
      <c r="D21" s="25">
        <v>55.395813644863566</v>
      </c>
      <c r="E21" s="16"/>
      <c r="F21" s="17"/>
    </row>
    <row r="22" spans="1:6" x14ac:dyDescent="0.3">
      <c r="A22" s="3" t="s">
        <v>4</v>
      </c>
      <c r="B22" s="9">
        <v>454</v>
      </c>
      <c r="C22" s="21">
        <v>73142</v>
      </c>
      <c r="D22" s="25">
        <v>62.071039894998776</v>
      </c>
      <c r="E22" s="16"/>
      <c r="F22" s="17"/>
    </row>
    <row r="23" spans="1:6" x14ac:dyDescent="0.3">
      <c r="A23" s="5" t="s">
        <v>6</v>
      </c>
      <c r="B23" s="22">
        <v>2563</v>
      </c>
      <c r="C23" s="22">
        <v>441108</v>
      </c>
      <c r="D23" s="24">
        <v>58.103684358479107</v>
      </c>
      <c r="E23" s="20"/>
      <c r="F23" s="17"/>
    </row>
  </sheetData>
  <pageMargins left="0.7" right="0.7" top="0.75" bottom="0.75" header="0.3" footer="0.3"/>
  <pageSetup paperSize="9" scale="4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showGridLines="0" workbookViewId="0"/>
  </sheetViews>
  <sheetFormatPr defaultRowHeight="14.4" x14ac:dyDescent="0.3"/>
  <sheetData>
    <row r="1" spans="1:1" ht="15.6" x14ac:dyDescent="0.3">
      <c r="A1" s="13" t="s">
        <v>35</v>
      </c>
    </row>
    <row r="2" spans="1:1" x14ac:dyDescent="0.3">
      <c r="A2" s="39" t="s">
        <v>34</v>
      </c>
    </row>
    <row r="3" spans="1:1" x14ac:dyDescent="0.3">
      <c r="A3" s="26" t="s">
        <v>36</v>
      </c>
    </row>
    <row r="4" spans="1:1" x14ac:dyDescent="0.3">
      <c r="A4" s="17" t="s">
        <v>32</v>
      </c>
    </row>
    <row r="5" spans="1:1" x14ac:dyDescent="0.3">
      <c r="A5" s="41"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Autism Referrals</vt:lpstr>
      <vt:lpstr>Autism Referrals Graph</vt:lpstr>
      <vt:lpstr>Autism Diagnosis</vt:lpstr>
      <vt:lpstr>Autism Diagnosis Graph</vt:lpstr>
    </vt:vector>
  </TitlesOfParts>
  <Company>DoH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Quarterly children's autism tables for NI</dc:title>
  <dc:subject>Number of children's autism referrals and diagnoses for eash quarter</dc:subject>
  <dc:creator>Community Information Branch (CIB)</dc:creator>
  <cp:keywords>Autism, NI, Referrals, Diagnoses</cp:keywords>
  <cp:lastModifiedBy>McCluney, Jessica</cp:lastModifiedBy>
  <cp:lastPrinted>2016-05-19T08:35:14Z</cp:lastPrinted>
  <dcterms:created xsi:type="dcterms:W3CDTF">2014-07-24T08:20:36Z</dcterms:created>
  <dcterms:modified xsi:type="dcterms:W3CDTF">2022-05-06T08:55:15Z</dcterms:modified>
</cp:coreProperties>
</file>